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q_by_category" sheetId="2" state="visible" r:id="rId2"/>
    <sheet xmlns:r="http://schemas.openxmlformats.org/officeDocument/2006/relationships" name="q_controls" sheetId="3" state="visible" r:id="rId3"/>
    <sheet xmlns:r="http://schemas.openxmlformats.org/officeDocument/2006/relationships" name="q_by_service" sheetId="4" state="visible" r:id="rId4"/>
    <sheet xmlns:r="http://schemas.openxmlformats.org/officeDocument/2006/relationships" name="q_risk_band" sheetId="5" state="visible" r:id="rId5"/>
    <sheet xmlns:r="http://schemas.openxmlformats.org/officeDocument/2006/relationships" name="q_submit_lag" sheetId="6" state="visible" r:id="rId6"/>
    <sheet xmlns:r="http://schemas.openxmlformats.org/officeDocument/2006/relationships" name="q_monthly" sheetId="7" state="visible" r:id="rId7"/>
    <sheet xmlns:r="http://schemas.openxmlformats.org/officeDocument/2006/relationships" name="q_resub" sheetId="8" state="visible" r:id="rId8"/>
    <sheet xmlns:r="http://schemas.openxmlformats.org/officeDocument/2006/relationships" name="q_queue_own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color rgb="00475569"/>
      <sz val="10"/>
    </font>
    <font>
      <b val="1"/>
      <color rgb="00475569"/>
      <sz val="7"/>
    </font>
    <font>
      <b val="1"/>
      <color rgb="000F172A"/>
      <sz val="16"/>
    </font>
    <font>
      <color rgb="00475569"/>
      <sz val="7"/>
    </font>
    <font>
      <b val="1"/>
      <color rgb="00B91C1C"/>
      <sz val="16"/>
    </font>
    <font>
      <b val="1"/>
      <color rgb="00B45309"/>
      <sz val="16"/>
    </font>
    <font>
      <b val="1"/>
      <color rgb="0015803D"/>
      <sz val="16"/>
    </font>
    <font>
      <b val="1"/>
    </font>
    <font>
      <color rgb="00475569"/>
      <sz val="8"/>
    </font>
    <font>
      <name val="Calibri"/>
      <b val="1"/>
      <color rgb="000F172A"/>
      <sz val="11"/>
    </font>
    <font>
      <name val="Calibri"/>
      <color rgb="00475569"/>
      <sz val="9"/>
    </font>
    <font>
      <name val="Calibri"/>
      <color rgb="00475569"/>
      <sz val="8"/>
    </font>
  </fonts>
  <fills count="4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5" fillId="2" borderId="1" applyAlignment="1" pivotButton="0" quotePrefix="0" xfId="0">
      <alignment vertical="top" wrapText="1"/>
    </xf>
    <xf numFmtId="0" fontId="8" fillId="2" borderId="1" pivotButton="0" quotePrefix="0" xfId="0"/>
    <xf numFmtId="0" fontId="10" fillId="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13" fillId="3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Denied dollars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'q_by_category'!B1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'q_by_category'!$A$2:$A$8</f>
            </numRef>
          </cat>
          <val>
            <numRef>
              <f>'q_by_category'!$B$2:$B$8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Which control failed, and what happened when it did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'q_controls'!B1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'q_controls'!$A$2:$A$6</f>
            </numRef>
          </cat>
          <val>
            <numRef>
              <f>'q_controls'!$B$2:$B$6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'q_controls'!C1</f>
            </strRef>
          </tx>
          <spPr>
            <a:ln xmlns:a="http://schemas.openxmlformats.org/drawingml/2006/main" w="26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'q_controls'!$A$2:$A$6</f>
            </numRef>
          </cat>
          <val>
            <numRef>
              <f>'q_controls'!$C$2:$C$6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Claims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Denial rate by service line</a:t>
            </a:r>
          </a:p>
        </rich>
      </tx>
    </title>
    <plotArea>
      <lineChart>
        <grouping val="standard"/>
        <ser>
          <idx val="0"/>
          <order val="0"/>
          <tx>
            <strRef>
              <f>'q_by_service'!B1</f>
            </strRef>
          </tx>
          <spPr>
            <a:ln xmlns:a="http://schemas.openxmlformats.org/drawingml/2006/main" w="26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'q_by_service'!$A$2:$A$10</f>
            </numRef>
          </cat>
          <val>
            <numRef>
              <f>'q_by_service'!$B$2:$B$10</f>
            </numRef>
          </val>
          <smooth val="0"/>
        </ser>
        <axId val="10"/>
        <axId val="100"/>
      </lineChart>
      <barChart>
        <barDir val="col"/>
        <grouping val="clustered"/>
        <ser>
          <idx val="1"/>
          <order val="1"/>
          <tx>
            <strRef>
              <f>'q_by_service'!C1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'q_by_service'!$A$2:$A$10</f>
            </numRef>
          </cat>
          <val>
            <numRef>
              <f>'q_by_service'!$C$2:$C$10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Denied $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Does the risk score separate anything?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'q_risk_band'!B1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'q_risk_band'!$A$2:$A$4</f>
            </numRef>
          </cat>
          <val>
            <numRef>
              <f>'q_risk_band'!$B$2:$B$4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  <crosses val="autoZero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Submission lag and denial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'q_submit_lag'!B1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'q_submit_lag'!$A$2:$A$6</f>
            </numRef>
          </cat>
          <val>
            <numRef>
              <f>'q_submit_lag'!$B$2:$B$6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  <crosses val="autoZero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'q_monthly'!B1</f>
            </strRef>
          </tx>
          <spPr>
            <a:ln xmlns:a="http://schemas.openxmlformats.org/drawingml/2006/main" w="26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'q_monthly'!$A$2:$A$9</f>
            </numRef>
          </cat>
          <val>
            <numRef>
              <f>'q_monthly'!$B$2:$B$9</f>
            </numRef>
          </val>
          <smooth val="0"/>
        </ser>
        <axId val="10"/>
        <axId val="100"/>
      </lineChart>
      <barChart>
        <barDir val="col"/>
        <grouping val="clustered"/>
        <ser>
          <idx val="1"/>
          <order val="1"/>
          <tx>
            <strRef>
              <f>'q_monthly'!C1</f>
            </strRef>
          </tx>
          <spPr>
            <a:solidFill xmlns:a="http://schemas.openxmlformats.org/drawingml/2006/main">
              <a:srgbClr val="94A3B8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'q_monthly'!$A$2:$A$9</f>
            </numRef>
          </cat>
          <val>
            <numRef>
              <f>'q_monthly'!$C$2:$C$9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Claims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on resubmission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'q_resub'!B1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'q_resub'!$A$2:$A$3</f>
            </numRef>
          </cat>
          <val>
            <numRef>
              <f>'q_resub'!$B$2:$B$3</f>
            </numRef>
          </val>
        </ser>
        <ser>
          <idx val="1"/>
          <order val="1"/>
          <tx>
            <strRef>
              <f>'q_resub'!C1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'q_resub'!$A$2:$A$3</f>
            </numRef>
          </cat>
          <val>
            <numRef>
              <f>'q_resub'!$C$2:$C$3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  <crosses val="autoZero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Pre-submission queue by owner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'q_queue_owner'!B1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'q_queue_owner'!$A$2:$A$7</f>
            </numRef>
          </cat>
          <val>
            <numRef>
              <f>'q_queue_owner'!$B$2:$B$7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'q_queue_owner'!C1</f>
            </strRef>
          </tx>
          <spPr>
            <a:ln xmlns:a="http://schemas.openxmlformats.org/drawingml/2006/main" w="26000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'q_queue_owner'!$A$2:$A$7</f>
            </numRef>
          </cat>
          <val>
            <numRef>
              <f>'q_queue_owner'!$C$2:$C$7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At-risk $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Claims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8640000" cy="33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38</row>
      <rowOff>0</rowOff>
    </from>
    <ext cx="8640000" cy="338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59</row>
      <rowOff>0</rowOff>
    </from>
    <ext cx="8640000" cy="338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80</row>
      <rowOff>0</rowOff>
    </from>
    <ext cx="8640000" cy="338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101</row>
      <rowOff>0</rowOff>
    </from>
    <ext cx="8640000" cy="338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122</row>
      <rowOff>0</rowOff>
    </from>
    <ext cx="8640000" cy="338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143</row>
      <rowOff>0</rowOff>
    </from>
    <ext cx="8640000" cy="3384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164</row>
      <rowOff>0</rowOff>
    </from>
    <ext cx="8640000" cy="3384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X2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0" customHeight="1">
      <c r="A2" s="1" t="n"/>
      <c r="B2" s="2" t="inlineStr">
        <is>
          <t>Denial Prevention Simulator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14" customHeight="1">
      <c r="A3" s="1" t="n"/>
      <c r="B3" s="3" t="inlineStr">
        <is>
          <t>Northbridge Medical Group (fictional) · 11,967 claims · 14.0% denied, $5,419,266 denied. 76.6% of denials trace to a control that could have been checked before submission. This page sizes that opportunity and ranks the work queue that would capture it.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 ht="12" customHeight="1">
      <c r="A7" s="1" t="n"/>
      <c r="B7" s="4" t="inlineStr">
        <is>
          <t>CLAIMS</t>
        </is>
      </c>
      <c r="C7" s="5" t="n"/>
      <c r="D7" s="5" t="n"/>
      <c r="E7" s="5" t="n"/>
      <c r="F7" s="5" t="n"/>
      <c r="G7" s="4" t="inlineStr">
        <is>
          <t>DENIAL RATE</t>
        </is>
      </c>
      <c r="H7" s="5" t="n"/>
      <c r="I7" s="5" t="n"/>
      <c r="J7" s="5" t="n"/>
      <c r="K7" s="5" t="n"/>
      <c r="L7" s="4" t="inlineStr">
        <is>
          <t>DENIED AMOUNT</t>
        </is>
      </c>
      <c r="M7" s="5" t="n"/>
      <c r="N7" s="5" t="n"/>
      <c r="O7" s="5" t="n"/>
      <c r="P7" s="5" t="n"/>
      <c r="Q7" s="4" t="inlineStr">
        <is>
          <t>PREVENTABLE SHARE OF DENIALS</t>
        </is>
      </c>
      <c r="R7" s="5" t="n"/>
      <c r="S7" s="5" t="n"/>
      <c r="T7" s="5" t="n"/>
      <c r="U7" s="5" t="n"/>
      <c r="V7" s="1" t="n"/>
      <c r="W7" s="1" t="n"/>
      <c r="X7" s="1" t="n"/>
    </row>
    <row r="8" ht="22" customHeight="1">
      <c r="A8" s="1" t="n"/>
      <c r="B8" s="6" t="inlineStr">
        <is>
          <t>11,967</t>
        </is>
      </c>
      <c r="C8" s="5" t="n"/>
      <c r="D8" s="5" t="n"/>
      <c r="E8" s="5" t="n"/>
      <c r="F8" s="5" t="n"/>
      <c r="G8" s="7" t="inlineStr">
        <is>
          <t>14.01%</t>
        </is>
      </c>
      <c r="H8" s="5" t="n"/>
      <c r="I8" s="5" t="n"/>
      <c r="J8" s="5" t="n"/>
      <c r="K8" s="5" t="n"/>
      <c r="L8" s="7" t="inlineStr">
        <is>
          <t>$5,419,266</t>
        </is>
      </c>
      <c r="M8" s="5" t="n"/>
      <c r="N8" s="5" t="n"/>
      <c r="O8" s="5" t="n"/>
      <c r="P8" s="5" t="n"/>
      <c r="Q8" s="8" t="inlineStr">
        <is>
          <t>76.70%</t>
        </is>
      </c>
      <c r="R8" s="5" t="n"/>
      <c r="S8" s="5" t="n"/>
      <c r="T8" s="5" t="n"/>
      <c r="U8" s="5" t="n"/>
      <c r="V8" s="1" t="n"/>
      <c r="W8" s="1" t="n"/>
      <c r="X8" s="1" t="n"/>
    </row>
    <row r="9" ht="12" customHeight="1">
      <c r="A9" s="1" t="n"/>
      <c r="B9" s="9" t="inlineStr"/>
      <c r="C9" s="5" t="n"/>
      <c r="D9" s="5" t="n"/>
      <c r="E9" s="5" t="n"/>
      <c r="F9" s="5" t="n"/>
      <c r="G9" s="9" t="inlineStr"/>
      <c r="H9" s="5" t="n"/>
      <c r="I9" s="5" t="n"/>
      <c r="J9" s="5" t="n"/>
      <c r="K9" s="5" t="n"/>
      <c r="L9" s="9" t="inlineStr"/>
      <c r="M9" s="5" t="n"/>
      <c r="N9" s="5" t="n"/>
      <c r="O9" s="5" t="n"/>
      <c r="P9" s="5" t="n"/>
      <c r="Q9" s="9" t="inlineStr">
        <is>
          <t>Traceable to a pre-submission control</t>
        </is>
      </c>
      <c r="R9" s="5" t="n"/>
      <c r="S9" s="5" t="n"/>
      <c r="T9" s="5" t="n"/>
      <c r="U9" s="5" t="n"/>
      <c r="V9" s="1" t="n"/>
      <c r="W9" s="1" t="n"/>
      <c r="X9" s="1" t="n"/>
    </row>
    <row r="10" ht="12" customHeight="1">
      <c r="A10" s="1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1" t="n"/>
      <c r="W10" s="1" t="n"/>
      <c r="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 ht="12" customHeight="1">
      <c r="A12" s="1" t="n"/>
      <c r="B12" s="4" t="inlineStr">
        <is>
          <t>MODELLED PREVENTION OPPORTUNITY</t>
        </is>
      </c>
      <c r="C12" s="5" t="n"/>
      <c r="D12" s="5" t="n"/>
      <c r="E12" s="5" t="n"/>
      <c r="F12" s="5" t="n"/>
      <c r="G12" s="4" t="inlineStr">
        <is>
          <t>RECOVERED ON RESUBMISSION</t>
        </is>
      </c>
      <c r="H12" s="5" t="n"/>
      <c r="I12" s="5" t="n"/>
      <c r="J12" s="5" t="n"/>
      <c r="K12" s="5" t="n"/>
      <c r="L12" s="4" t="inlineStr">
        <is>
          <t>CLAIMS IN PRE-SUBMISSION QUEUE</t>
        </is>
      </c>
      <c r="M12" s="5" t="n"/>
      <c r="N12" s="5" t="n"/>
      <c r="O12" s="5" t="n"/>
      <c r="P12" s="5" t="n"/>
      <c r="Q12" s="4" t="inlineStr">
        <is>
          <t>AMOUNT AT RISK IN QUEUE</t>
        </is>
      </c>
      <c r="R12" s="5" t="n"/>
      <c r="S12" s="5" t="n"/>
      <c r="T12" s="5" t="n"/>
      <c r="U12" s="5" t="n"/>
      <c r="V12" s="1" t="n"/>
      <c r="W12" s="1" t="n"/>
      <c r="X12" s="1" t="n"/>
    </row>
    <row r="13" ht="22" customHeight="1">
      <c r="A13" s="1" t="n"/>
      <c r="B13" s="6" t="inlineStr">
        <is>
          <t>$3,587,476</t>
        </is>
      </c>
      <c r="C13" s="5" t="n"/>
      <c r="D13" s="5" t="n"/>
      <c r="E13" s="5" t="n"/>
      <c r="F13" s="5" t="n"/>
      <c r="G13" s="10" t="inlineStr">
        <is>
          <t>$2,486,303</t>
        </is>
      </c>
      <c r="H13" s="5" t="n"/>
      <c r="I13" s="5" t="n"/>
      <c r="J13" s="5" t="n"/>
      <c r="K13" s="5" t="n"/>
      <c r="L13" s="6" t="inlineStr">
        <is>
          <t>900</t>
        </is>
      </c>
      <c r="M13" s="5" t="n"/>
      <c r="N13" s="5" t="n"/>
      <c r="O13" s="5" t="n"/>
      <c r="P13" s="5" t="n"/>
      <c r="Q13" s="8" t="inlineStr">
        <is>
          <t>$504,650</t>
        </is>
      </c>
      <c r="R13" s="5" t="n"/>
      <c r="S13" s="5" t="n"/>
      <c r="T13" s="5" t="n"/>
      <c r="U13" s="5" t="n"/>
      <c r="V13" s="1" t="n"/>
      <c r="W13" s="1" t="n"/>
      <c r="X13" s="1" t="n"/>
    </row>
    <row r="14" ht="12" customHeight="1">
      <c r="A14" s="1" t="n"/>
      <c r="B14" s="9" t="inlineStr">
        <is>
          <t>At 100% control effectiveness — not a forecast</t>
        </is>
      </c>
      <c r="C14" s="5" t="n"/>
      <c r="D14" s="5" t="n"/>
      <c r="E14" s="5" t="n"/>
      <c r="F14" s="5" t="n"/>
      <c r="G14" s="9" t="inlineStr"/>
      <c r="H14" s="5" t="n"/>
      <c r="I14" s="5" t="n"/>
      <c r="J14" s="5" t="n"/>
      <c r="K14" s="5" t="n"/>
      <c r="L14" s="9" t="inlineStr">
        <is>
          <t>Stopped before they become denials</t>
        </is>
      </c>
      <c r="M14" s="5" t="n"/>
      <c r="N14" s="5" t="n"/>
      <c r="O14" s="5" t="n"/>
      <c r="P14" s="5" t="n"/>
      <c r="Q14" s="9" t="inlineStr"/>
      <c r="R14" s="5" t="n"/>
      <c r="S14" s="5" t="n"/>
      <c r="T14" s="5" t="n"/>
      <c r="U14" s="5" t="n"/>
      <c r="V14" s="1" t="n"/>
      <c r="W14" s="1" t="n"/>
      <c r="X14" s="1" t="n"/>
    </row>
    <row r="15" ht="12" customHeight="1">
      <c r="A15" s="1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1" t="n"/>
      <c r="W15" s="1" t="n"/>
      <c r="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1" t="inlineStr">
        <is>
          <t>Four categories, one of which is most of the money.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 s="1" t="n"/>
      <c r="B57" s="11" t="inlineStr">
        <is>
          <t>Bars count claims where the control failed; the line is the denial rate among those claims. A control with few failures but a high denial rate is a cheap fix with real yield.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>
      <c r="A78" s="1" t="n"/>
      <c r="B78" s="11" t="inlineStr">
        <is>
          <t>Worst first. The lines with the highest rate are not the ones with the most denied dollars, which is why both are plotted.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>
      <c r="A99" s="1" t="n"/>
      <c r="B99" s="11" t="inlineStr">
        <is>
          <t>Denial rate rises steeply across the three bands, from single digits in Low to the high thirties in High. The score is a ranking tool built from judgement weights, so this is a sanity check on ordering — not evidence that the score is calibrated to probability.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</row>
    <row r="120">
      <c r="A120" s="1" t="n"/>
      <c r="B120" s="11" t="inlineStr">
        <is>
          <t>Claims submitted late are denied more often, and timely-filing denials are unappealable in a way that documentation denials are not.</t>
        </is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</row>
    <row r="141">
      <c r="A141" s="1" t="n"/>
      <c r="B141" s="11" t="inlineStr">
        <is>
          <t>Bars are claim volume on the right axis; the line is denial rate. Volume and rate move independently here, so the rate is not a capacity artefact.</t>
        </is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</row>
    <row r="162">
      <c r="A162" s="1" t="n"/>
      <c r="B162" s="11" t="inlineStr">
        <is>
          <t>Resubmission recovers a real share of denied dollars, which is the argument against treating prevention as the only lever — but it recovers cents on the dollar and costs a second touch.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</row>
    <row r="183">
      <c r="A183" s="1" t="n"/>
      <c r="B183" s="11" t="inlineStr">
        <is>
          <t>The intervention is only real if someone owns it. Dollars at risk are assigned to the team that can actually clear the trigger.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</row>
    <row r="186" ht="16" customHeight="1">
      <c r="A186" s="1" t="n"/>
      <c r="B186" s="12" t="inlineStr">
        <is>
          <t>How this workbook is built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</row>
    <row r="187" ht="14" customHeight="1">
      <c r="A187" s="1" t="n"/>
      <c r="B187" s="13" t="inlineStr">
        <is>
          <t>Every figure here is produced by a SQL query stored in dashboard/dashboard_config.json and run against data/claims.db by src/build_bi_assets.py. The q_* sheets are the raw query output; the charts on this sheet read those sheets directly, so the workbook cannot drift away from the analysis in sql/. Rebuild with: python src/load_sqlite.py &amp;&amp; python src/build_bi_assets.py</t>
        </is>
      </c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</row>
    <row r="188" ht="14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</row>
    <row r="189" ht="14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</row>
    <row r="191" ht="16" customHeight="1">
      <c r="A191" s="1" t="n"/>
      <c r="B191" s="12" t="inlineStr">
        <is>
          <t>Limitations</t>
        </is>
      </c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</row>
    <row r="192" ht="14" customHeight="1">
      <c r="A192" s="1" t="n"/>
      <c r="B192" s="13" t="inlineStr">
        <is>
          <t>Preventable is defined by a mapping from denial reason to an upstream control, which credits prevention to a control that might have failed anyway. The prevention opportunity is a modelled figure at 100% control effectiveness and is not a savings forecast; real capture depends on staffing and payer behaviour. Risk score weights are judgement, not a fitted model, so the score ranks claims and does not estimate probability. The data is fully synthetic.</t>
        </is>
      </c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</row>
    <row r="193" ht="14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</row>
    <row r="194" ht="14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</row>
    <row r="195" ht="14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</row>
    <row r="197" ht="13" customHeight="1">
      <c r="A197" s="1" t="n"/>
      <c r="B197" s="14" t="inlineStr">
        <is>
          <t>Source: synthetic data generated by src/generate_data.py. No employer data, patient information, protected health information or confidential business information is used.</t>
        </is>
      </c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</row>
    <row r="198" ht="13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</row>
    <row r="199" ht="13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</row>
  </sheetData>
  <mergeCells count="39">
    <mergeCell ref="Q7:U7"/>
    <mergeCell ref="Q9:U10"/>
    <mergeCell ref="B7:F7"/>
    <mergeCell ref="B36:V37"/>
    <mergeCell ref="B2:V2"/>
    <mergeCell ref="G12:K12"/>
    <mergeCell ref="Q12:U12"/>
    <mergeCell ref="L7:P7"/>
    <mergeCell ref="B99:V100"/>
    <mergeCell ref="B183:V184"/>
    <mergeCell ref="G14:K15"/>
    <mergeCell ref="L13:P13"/>
    <mergeCell ref="G8:K8"/>
    <mergeCell ref="B141:V142"/>
    <mergeCell ref="B192:V195"/>
    <mergeCell ref="B9:F10"/>
    <mergeCell ref="Q8:U8"/>
    <mergeCell ref="B12:F12"/>
    <mergeCell ref="L12:P12"/>
    <mergeCell ref="G7:K7"/>
    <mergeCell ref="L9:P10"/>
    <mergeCell ref="B191:V191"/>
    <mergeCell ref="B186:V186"/>
    <mergeCell ref="G13:K13"/>
    <mergeCell ref="B8:F8"/>
    <mergeCell ref="B13:F13"/>
    <mergeCell ref="L8:P8"/>
    <mergeCell ref="G9:K10"/>
    <mergeCell ref="B187:V189"/>
    <mergeCell ref="B120:V121"/>
    <mergeCell ref="Q14:U15"/>
    <mergeCell ref="B57:V58"/>
    <mergeCell ref="B197:V199"/>
    <mergeCell ref="B78:V79"/>
    <mergeCell ref="B3:V5"/>
    <mergeCell ref="L14:P15"/>
    <mergeCell ref="B14:F15"/>
    <mergeCell ref="B162:V163"/>
    <mergeCell ref="Q13:U1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</cols>
  <sheetData>
    <row r="1">
      <c r="A1" s="15" t="inlineStr">
        <is>
          <t>Reason_Category</t>
        </is>
      </c>
      <c r="B1" s="15" t="inlineStr">
        <is>
          <t>Denied amount</t>
        </is>
      </c>
    </row>
    <row r="2">
      <c r="A2" t="inlineStr">
        <is>
          <t>Authorization</t>
        </is>
      </c>
      <c r="B2" t="n">
        <v>1960378</v>
      </c>
    </row>
    <row r="3">
      <c r="A3" t="inlineStr">
        <is>
          <t>Coverage</t>
        </is>
      </c>
      <c r="B3" t="n">
        <v>934921</v>
      </c>
    </row>
    <row r="4">
      <c r="A4" t="inlineStr">
        <is>
          <t>Eligibility</t>
        </is>
      </c>
      <c r="B4" t="n">
        <v>844516</v>
      </c>
    </row>
    <row r="5">
      <c r="A5" t="inlineStr">
        <is>
          <t>Documentation</t>
        </is>
      </c>
      <c r="B5" t="n">
        <v>594578</v>
      </c>
    </row>
    <row r="6">
      <c r="A6" t="inlineStr">
        <is>
          <t>Coding</t>
        </is>
      </c>
      <c r="B6" t="n">
        <v>502086</v>
      </c>
    </row>
    <row r="7">
      <c r="A7" t="inlineStr">
        <is>
          <t>Duplicate</t>
        </is>
      </c>
      <c r="B7" t="n">
        <v>306675</v>
      </c>
    </row>
    <row r="8">
      <c r="A8" t="inlineStr">
        <is>
          <t>Timely Filing</t>
        </is>
      </c>
      <c r="B8" t="n">
        <v>276112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15" t="inlineStr">
        <is>
          <t>control</t>
        </is>
      </c>
      <c r="B1" s="15" t="inlineStr">
        <is>
          <t>Claims where control failed</t>
        </is>
      </c>
      <c r="C1" s="15" t="inlineStr">
        <is>
          <t>Denial rate when failed %</t>
        </is>
      </c>
    </row>
    <row r="2">
      <c r="A2" t="inlineStr">
        <is>
          <t>Authorization missing where required</t>
        </is>
      </c>
      <c r="B2" t="n">
        <v>1060</v>
      </c>
      <c r="C2" t="n">
        <v>36.7</v>
      </c>
    </row>
    <row r="3">
      <c r="A3" t="inlineStr">
        <is>
          <t>Eligibility not verified</t>
        </is>
      </c>
      <c r="B3" t="n">
        <v>1062</v>
      </c>
      <c r="C3" t="n">
        <v>30.1</v>
      </c>
    </row>
    <row r="4">
      <c r="A4" t="inlineStr">
        <is>
          <t>Documentation incomplete</t>
        </is>
      </c>
      <c r="B4" t="n">
        <v>1076</v>
      </c>
      <c r="C4" t="n">
        <v>26.2</v>
      </c>
    </row>
    <row r="5">
      <c r="A5" t="inlineStr">
        <is>
          <t>Coding validation failed</t>
        </is>
      </c>
      <c r="B5" t="n">
        <v>761</v>
      </c>
      <c r="C5" t="n">
        <v>25.6</v>
      </c>
    </row>
    <row r="6">
      <c r="A6" t="inlineStr">
        <is>
          <t>Timely filing at risk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15" t="inlineStr">
        <is>
          <t>Service_Line</t>
        </is>
      </c>
      <c r="B1" s="15" t="inlineStr">
        <is>
          <t>Denial rate %</t>
        </is>
      </c>
      <c r="C1" s="15" t="inlineStr">
        <is>
          <t>Denied amount</t>
        </is>
      </c>
    </row>
    <row r="2">
      <c r="A2" t="inlineStr">
        <is>
          <t>Surgery</t>
        </is>
      </c>
      <c r="B2" t="n">
        <v>17.76</v>
      </c>
      <c r="C2" t="n">
        <v>3468227</v>
      </c>
    </row>
    <row r="3">
      <c r="A3" t="inlineStr">
        <is>
          <t>Orthopedics</t>
        </is>
      </c>
      <c r="B3" t="n">
        <v>15.58</v>
      </c>
      <c r="C3" t="n">
        <v>139567</v>
      </c>
    </row>
    <row r="4">
      <c r="A4" t="inlineStr">
        <is>
          <t>Physical Therapy</t>
        </is>
      </c>
      <c r="B4" t="n">
        <v>15.06</v>
      </c>
      <c r="C4" t="n">
        <v>38998</v>
      </c>
    </row>
    <row r="5">
      <c r="A5" t="inlineStr">
        <is>
          <t>Cardiology</t>
        </is>
      </c>
      <c r="B5" t="n">
        <v>14.89</v>
      </c>
      <c r="C5" t="n">
        <v>340452</v>
      </c>
    </row>
    <row r="6">
      <c r="A6" t="inlineStr">
        <is>
          <t>Imaging</t>
        </is>
      </c>
      <c r="B6" t="n">
        <v>14</v>
      </c>
      <c r="C6" t="n">
        <v>538560</v>
      </c>
    </row>
    <row r="7">
      <c r="A7" t="inlineStr">
        <is>
          <t>Oncology</t>
        </is>
      </c>
      <c r="B7" t="n">
        <v>13.93</v>
      </c>
      <c r="C7" t="n">
        <v>802104</v>
      </c>
    </row>
    <row r="8">
      <c r="A8" t="inlineStr">
        <is>
          <t>Behavioral Health</t>
        </is>
      </c>
      <c r="B8" t="n">
        <v>12.54</v>
      </c>
      <c r="C8" t="n">
        <v>27608</v>
      </c>
    </row>
    <row r="9">
      <c r="A9" t="inlineStr">
        <is>
          <t>Primary Care</t>
        </is>
      </c>
      <c r="B9" t="n">
        <v>12.2</v>
      </c>
      <c r="C9" t="n">
        <v>50848</v>
      </c>
    </row>
    <row r="10">
      <c r="A10" t="inlineStr">
        <is>
          <t>Lab</t>
        </is>
      </c>
      <c r="B10" t="n">
        <v>11.09</v>
      </c>
      <c r="C10" t="n">
        <v>12902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</cols>
  <sheetData>
    <row r="1">
      <c r="A1" s="15" t="inlineStr">
        <is>
          <t>Risk_Band</t>
        </is>
      </c>
      <c r="B1" s="15" t="inlineStr">
        <is>
          <t>Denial rate %</t>
        </is>
      </c>
    </row>
    <row r="2">
      <c r="A2" t="inlineStr">
        <is>
          <t>Low</t>
        </is>
      </c>
      <c r="B2" t="n">
        <v>7.82</v>
      </c>
    </row>
    <row r="3">
      <c r="A3" t="inlineStr">
        <is>
          <t>Medium</t>
        </is>
      </c>
      <c r="B3" t="n">
        <v>22.94</v>
      </c>
    </row>
    <row r="4">
      <c r="A4" t="inlineStr">
        <is>
          <t>High</t>
        </is>
      </c>
      <c r="B4" t="n">
        <v>37.76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</cols>
  <sheetData>
    <row r="1">
      <c r="A1" s="15" t="inlineStr">
        <is>
          <t>band</t>
        </is>
      </c>
      <c r="B1" s="15" t="inlineStr">
        <is>
          <t>Denial rate %</t>
        </is>
      </c>
    </row>
    <row r="2">
      <c r="A2" t="inlineStr">
        <is>
          <t>0-3 days</t>
        </is>
      </c>
      <c r="B2" t="n">
        <v>13.7</v>
      </c>
    </row>
    <row r="3">
      <c r="A3" t="inlineStr">
        <is>
          <t>4-7 days</t>
        </is>
      </c>
      <c r="B3" t="n">
        <v>12.92</v>
      </c>
    </row>
    <row r="4">
      <c r="A4" t="inlineStr">
        <is>
          <t>8-14 days</t>
        </is>
      </c>
      <c r="B4" t="n">
        <v>12.74</v>
      </c>
    </row>
    <row r="5">
      <c r="A5" t="inlineStr">
        <is>
          <t>15-30 days</t>
        </is>
      </c>
      <c r="B5" t="n">
        <v>14.52</v>
      </c>
    </row>
    <row r="6">
      <c r="A6" t="inlineStr">
        <is>
          <t>31+ days</t>
        </is>
      </c>
      <c r="B6" t="n">
        <v>29.55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15" t="inlineStr">
        <is>
          <t>month</t>
        </is>
      </c>
      <c r="B1" s="15" t="inlineStr">
        <is>
          <t>Denial rate %</t>
        </is>
      </c>
      <c r="C1" s="15" t="inlineStr">
        <is>
          <t>Claims</t>
        </is>
      </c>
    </row>
    <row r="2">
      <c r="A2" t="inlineStr">
        <is>
          <t>2026-01</t>
        </is>
      </c>
      <c r="B2" t="n">
        <v>13.26</v>
      </c>
      <c r="C2" t="n">
        <v>1410</v>
      </c>
    </row>
    <row r="3">
      <c r="A3" t="inlineStr">
        <is>
          <t>2026-02</t>
        </is>
      </c>
      <c r="B3" t="n">
        <v>14.53</v>
      </c>
      <c r="C3" t="n">
        <v>1342</v>
      </c>
    </row>
    <row r="4">
      <c r="A4" t="inlineStr">
        <is>
          <t>2026-03</t>
        </is>
      </c>
      <c r="B4" t="n">
        <v>12.61</v>
      </c>
      <c r="C4" t="n">
        <v>1547</v>
      </c>
    </row>
    <row r="5">
      <c r="A5" t="inlineStr">
        <is>
          <t>2026-04</t>
        </is>
      </c>
      <c r="B5" t="n">
        <v>15.67</v>
      </c>
      <c r="C5" t="n">
        <v>1506</v>
      </c>
    </row>
    <row r="6">
      <c r="A6" t="inlineStr">
        <is>
          <t>2026-05</t>
        </is>
      </c>
      <c r="B6" t="n">
        <v>13.52</v>
      </c>
      <c r="C6" t="n">
        <v>1576</v>
      </c>
    </row>
    <row r="7">
      <c r="A7" t="inlineStr">
        <is>
          <t>2026-06</t>
        </is>
      </c>
      <c r="B7" t="n">
        <v>13.66</v>
      </c>
      <c r="C7" t="n">
        <v>1523</v>
      </c>
    </row>
    <row r="8">
      <c r="A8" t="inlineStr">
        <is>
          <t>2026-07</t>
        </is>
      </c>
      <c r="B8" t="n">
        <v>14.16</v>
      </c>
      <c r="C8" t="n">
        <v>1547</v>
      </c>
    </row>
    <row r="9">
      <c r="A9" t="inlineStr">
        <is>
          <t>2026-08</t>
        </is>
      </c>
      <c r="B9" t="n">
        <v>14.71</v>
      </c>
      <c r="C9" t="n">
        <v>1516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15" t="inlineStr">
        <is>
          <t>bucket</t>
        </is>
      </c>
      <c r="B1" s="15" t="inlineStr">
        <is>
          <t>Denied</t>
        </is>
      </c>
      <c r="C1" s="15" t="inlineStr">
        <is>
          <t>Recovered</t>
        </is>
      </c>
    </row>
    <row r="2">
      <c r="A2" t="inlineStr">
        <is>
          <t>Not resubmitted</t>
        </is>
      </c>
      <c r="B2" t="n">
        <v>1552754</v>
      </c>
      <c r="C2" t="n">
        <v>0</v>
      </c>
    </row>
    <row r="3">
      <c r="A3" t="inlineStr">
        <is>
          <t>Resubmitted</t>
        </is>
      </c>
      <c r="B3" t="n">
        <v>3866512</v>
      </c>
      <c r="C3" t="n">
        <v>2486303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15" t="inlineStr">
        <is>
          <t>Primary_Owner</t>
        </is>
      </c>
      <c r="B1" s="15" t="inlineStr">
        <is>
          <t>Amount at risk</t>
        </is>
      </c>
      <c r="C1" s="15" t="inlineStr">
        <is>
          <t>Claims</t>
        </is>
      </c>
    </row>
    <row r="2">
      <c r="A2" t="inlineStr">
        <is>
          <t>Authorization team</t>
        </is>
      </c>
      <c r="B2" t="n">
        <v>457540</v>
      </c>
      <c r="C2" t="n">
        <v>85</v>
      </c>
    </row>
    <row r="3">
      <c r="A3" t="inlineStr">
        <is>
          <t>Billing intake</t>
        </is>
      </c>
      <c r="B3" t="n">
        <v>38520</v>
      </c>
      <c r="C3" t="n">
        <v>89</v>
      </c>
    </row>
    <row r="4">
      <c r="A4" t="inlineStr">
        <is>
          <t>Clinical documentation</t>
        </is>
      </c>
      <c r="B4" t="n">
        <v>8589</v>
      </c>
      <c r="C4" t="n">
        <v>77</v>
      </c>
    </row>
    <row r="5">
      <c r="A5" t="inlineStr">
        <is>
          <t>Coding team</t>
        </is>
      </c>
      <c r="B5" t="n">
        <v>0</v>
      </c>
      <c r="C5" t="n">
        <v>44</v>
      </c>
    </row>
    <row r="6">
      <c r="A6" t="inlineStr">
        <is>
          <t>Billing supervisor</t>
        </is>
      </c>
      <c r="B6" t="n">
        <v>0</v>
      </c>
      <c r="C6" t="n">
        <v>254</v>
      </c>
    </row>
    <row r="7">
      <c r="B7" t="n">
        <v>0</v>
      </c>
      <c r="C7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2026-09-23T23:49:57Z</dcterms:created>
  <dcterms:modified xmlns:dcterms="http://purl.org/dc/terms/" xmlns:xsi="http://www.w3.org/2001/XMLSchema-instance" xsi:type="dcterms:W3CDTF">2026-09-23T23:49:57Z</dcterms:modified>
</cp:coreProperties>
</file>